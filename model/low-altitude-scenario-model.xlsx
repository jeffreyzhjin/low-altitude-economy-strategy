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9d6c58ec4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e7355b233a4d66"/>
    <x:sheet xmlns:r="http://schemas.openxmlformats.org/officeDocument/2006/relationships" name="Scoring" sheetId="2" r:id="R1816205f5b014c22"/>
    <x:sheet xmlns:r="http://schemas.openxmlformats.org/officeDocument/2006/relationships" name="Sources" sheetId="3" r:id="Rb1f40531f693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"/>
  </x:numFmts>
  <x:fonts count="10">
    <x:font>
      <x:sz val="11"/>
      <x:name val="Carlito"/>
    </x:font>
    <x:font>
      <x:b/>
      <x:sz val="16"/>
      <x:color rgb="FF17324D"/>
      <x:name val="Arial"/>
    </x:font>
    <x:font>
      <x:i/>
      <x:sz val="10"/>
      <x:color rgb="FF5F6B7A"/>
      <x:name val="Arial"/>
    </x:font>
    <x:font>
      <x:b/>
      <x:sz val="11"/>
      <x:color rgb="FF17324D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17324D"/>
      <x:name val="Arial"/>
    </x:font>
    <x:font>
      <x:i/>
      <x:sz val="9"/>
      <x:color rgb="FF5F6B7A"/>
      <x:name val="Arial"/>
    </x:font>
    <x:font>
      <x:sz val="9"/>
      <x:color rgb="FF2563E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/>
    </x:xf>
    <x:xf numFmtId="0" fontId="6" fillId="0" borderId="4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horizontal="center" vertical="top"/>
    </x:xf>
    <x:xf numFmtId="0" fontId="6" fillId="0" borderId="5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201" fontId="6" fillId="4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7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202" fontId="4" fillId="4" borderId="0" xfId="0" applyNumberFormat="1" applyFont="1" applyFill="1" applyBorder="1" applyAlignment="1">
      <x:alignment vertical="top"/>
    </x:xf>
    <x:xf numFmtId="202" fontId="4" fillId="4" borderId="0" xfId="0" applyNumberFormat="1" applyFont="1" applyFill="1" applyBorder="1" applyAlignment="1">
      <x:alignment horizontal="center" vertical="top"/>
    </x:xf>
    <x:xf numFmtId="200" fontId="4" fillId="0" borderId="0" xfId="0" applyNumberFormat="1" applyFont="1" applyFill="1" applyBorder="1" applyAlignment="1">
      <x:alignment horizontal="center" vertical="top"/>
    </x:xf>
    <x:xf numFmtId="0" fontId="4" fillId="0" borderId="4" xfId="0" applyNumberFormat="1" applyFont="1" applyFill="1" applyBorder="1" applyAlignment="1">
      <x:alignment vertical="top"/>
    </x:xf>
    <x:xf numFmtId="202" fontId="4" fillId="4" borderId="4" xfId="0" applyNumberFormat="1" applyFont="1" applyFill="1" applyBorder="1" applyAlignment="1">
      <x:alignment horizontal="center" vertical="top"/>
    </x:xf>
    <x:xf numFmtId="200" fontId="4" fillId="0" borderId="4" xfId="0" applyNumberFormat="1" applyFont="1" applyFill="1" applyBorder="1" applyAlignment="1">
      <x:alignment horizontal="center" vertical="top"/>
    </x:xf>
    <x:xf numFmtId="0" fontId="4" fillId="0" borderId="5" xfId="0" applyNumberFormat="1" applyFont="1" applyFill="1" applyBorder="1" applyAlignment="1">
      <x:alignment vertical="top"/>
    </x:xf>
    <x:xf numFmtId="202" fontId="4" fillId="4" borderId="5" xfId="0" applyNumberFormat="1" applyFont="1" applyFill="1" applyBorder="1" applyAlignment="1">
      <x:alignment horizontal="center" vertical="top"/>
    </x:xf>
    <x:xf numFmtId="200" fontId="4" fillId="0" borderId="5" xfId="0" applyNumberFormat="1" applyFont="1" applyFill="1" applyBorder="1" applyAlignment="1">
      <x:alignment horizontal="center" vertical="top"/>
    </x:xf>
    <x:xf numFmtId="0" fontId="9" fillId="0" borderId="0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7bb6c0a6240c5" /><Relationship Type="http://schemas.openxmlformats.org/officeDocument/2006/relationships/theme" Target="/xl/theme/theme1.xml" Id="R3eb2c808bda84842" /><Relationship Type="http://schemas.openxmlformats.org/officeDocument/2006/relationships/sharedStrings" Target="/xl/sharedStrings.xml" Id="R45f7407f2ac7482c" /><Relationship Type="http://schemas.openxmlformats.org/officeDocument/2006/relationships/worksheet" Target="/xl/worksheets/sheet1.xml" Id="R2de7355b233a4d66" /><Relationship Type="http://schemas.openxmlformats.org/officeDocument/2006/relationships/worksheet" Target="/xl/worksheets/sheet2.xml" Id="R1816205f5b014c22" /><Relationship Type="http://schemas.openxmlformats.org/officeDocument/2006/relationships/worksheet" Target="/xl/worksheets/sheet3.xml" Id="Rb1f40531f69348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1" hidden="0" customWidth="1"/>
    <x:col min="4" max="4" width="31" hidden="0" customWidth="1"/>
    <x:col min="5" max="5" width="54" hidden="0" customWidth="1"/>
    <x:col min="6" max="6" width="3" hidden="0" customWidth="1"/>
  </x:cols>
  <x:sheetData>
    <x:row r="2" ht="26" customHeight="1">
      <x:c r="A2" s="1" t="str">
        <x:v>Low-altitude economy scenario strategy</x:v>
      </x:c>
      <x:c r="B2" s="1" t="str">
        <x:v>Low-altitude economy scenario strategy</x:v>
      </x:c>
      <x:c r="C2" s="1" t="str">
        <x:v>Low-altitude economy scenario strategy</x:v>
      </x:c>
      <x:c r="D2" s="1" t="str">
        <x:v>Low-altitude economy scenario strategy</x:v>
      </x:c>
      <x:c r="E2" s="1" t="str">
        <x:v>Low-altitude economy scenario strategy</x:v>
      </x:c>
      <x:c r="F2" s="1" t="str">
        <x:v>Low-altitude economy scenario strategy</x:v>
      </x:c>
    </x:row>
    <x:row r="3">
      <x:c r="A3" s="2" t="str">
        <x:v>Decision: Which scenarios should an internet or technology platform enter first?</x:v>
      </x:c>
      <x:c r="B3" s="2"/>
      <x:c r="C3" s="2"/>
      <x:c r="D3" s="2"/>
      <x:c r="E3" s="2"/>
      <x:c r="F3" s="2"/>
    </x:row>
    <x:row r="5" ht="42" customHeight="1">
      <x:c r="A5" s="5" t="str">
        <x:v>Recommendation</x:v>
      </x:c>
      <x:c r="B5" s="8" t="str">
        <x:v>Urban instant delivery pilots plus an asset-light digital-services layer. Use partnerships for B2B, public-sector, and medical scenarios. Monitor passenger mobility.</x:v>
      </x:c>
      <x:c r="C5" s="8"/>
      <x:c r="D5" s="8"/>
      <x:c r="E5" s="8"/>
      <x:c r="F5" s="8"/>
    </x:row>
    <x:row r="7" ht="30" customHeight="1">
      <x:c r="A7" s="20" t="str">
        <x:v>Rank</x:v>
      </x:c>
      <x:c r="B7" s="21" t="str">
        <x:v>Scenario</x:v>
      </x:c>
      <x:c r="C7" s="21" t="str">
        <x:v>Score</x:v>
      </x:c>
      <x:c r="D7" s="21" t="str">
        <x:v>Suggested posture</x:v>
      </x:c>
      <x:c r="E7" s="22" t="str">
        <x:v>First test</x:v>
      </x:c>
    </x:row>
    <x:row r="8">
      <x:c r="A8" s="29" t="n">
        <x:v>1</x:v>
      </x:c>
      <x:c r="B8" s="30" t="str">
        <x:f>INDEX(Scoring!$B$7:$B$12,MATCH(A8,Scoring!$M$7:$M$12,0))</x:f>
        <x:v>Urban instant delivery</x:v>
      </x:c>
      <x:c r="C8" s="31" t="n">
        <x:f>INDEX(Scoring!$L$7:$L$12,MATCH(A8,Scoring!$M$7:$M$12,0))</x:f>
        <x:v>4.4</x:v>
      </x:c>
      <x:c r="D8" s="32" t="str">
        <x:f>INDEX(Scoring!$H$7:$H$12,MATCH(A8,Scoring!$M$7:$M$12,0))</x:f>
        <x:v>Pilot now</x:v>
      </x:c>
      <x:c r="E8" s="32" t="str">
        <x:f>INDEX(Scoring!$K$7:$K$12,MATCH(A8,Scoring!$M$7:$M$12,0))</x:f>
        <x:v>Test one restricted route against a ground-delivery baseline.</x:v>
      </x:c>
    </x:row>
    <x:row r="9">
      <x:c r="A9" s="33" t="n">
        <x:v>2</x:v>
      </x:c>
      <x:c r="B9" s="34" t="str">
        <x:f>INDEX(Scoring!$B$7:$B$12,MATCH(A9,Scoring!$M$7:$M$12,0))</x:f>
        <x:v>Low-altitude digital infrastructure and services</x:v>
      </x:c>
      <x:c r="C9" s="35" t="n">
        <x:f>INDEX(Scoring!$L$7:$L$12,MATCH(A9,Scoring!$M$7:$M$12,0))</x:f>
        <x:v>4</x:v>
      </x:c>
      <x:c r="D9" s="36" t="str">
        <x:f>INDEX(Scoring!$H$7:$H$12,MATCH(A9,Scoring!$M$7:$M$12,0))</x:f>
        <x:v>Build through partnerships</x:v>
      </x:c>
      <x:c r="E9" s="36" t="str">
        <x:f>INDEX(Scoring!$K$7:$K$12,MATCH(A9,Scoring!$M$7:$M$12,0))</x:f>
        <x:v>Co-build one dispatch and risk workflow with a licensed operator.</x:v>
      </x:c>
    </x:row>
    <x:row r="10">
      <x:c r="A10" s="33" t="n">
        <x:v>3</x:v>
      </x:c>
      <x:c r="B10" s="34" t="str">
        <x:f>INDEX(Scoring!$B$7:$B$12,MATCH(A10,Scoring!$M$7:$M$12,0))</x:f>
        <x:v>Industrial inspection</x:v>
      </x:c>
      <x:c r="C10" s="35" t="n">
        <x:f>INDEX(Scoring!$L$7:$L$12,MATCH(A10,Scoring!$M$7:$M$12,0))</x:f>
        <x:v>3.6000000000000005</x:v>
      </x:c>
      <x:c r="D10" s="36" t="str">
        <x:f>INDEX(Scoring!$H$7:$H$12,MATCH(A10,Scoring!$M$7:$M$12,0))</x:f>
        <x:v>Selective B2B entry</x:v>
      </x:c>
      <x:c r="E10" s="36" t="str">
        <x:f>INDEX(Scoring!$K$7:$K$12,MATCH(A10,Scoring!$M$7:$M$12,0))</x:f>
        <x:v>Choose one asset class and compare cost, coverage, and confirmed defects.</x:v>
      </x:c>
    </x:row>
    <x:row r="11">
      <x:c r="A11" s="33" t="n">
        <x:v>4</x:v>
      </x:c>
      <x:c r="B11" s="34" t="str">
        <x:f>INDEX(Scoring!$B$7:$B$12,MATCH(A11,Scoring!$M$7:$M$12,0))</x:f>
        <x:v>Urban governance and emergency response</x:v>
      </x:c>
      <x:c r="C11" s="35" t="n">
        <x:f>INDEX(Scoring!$L$7:$L$12,MATCH(A11,Scoring!$M$7:$M$12,0))</x:f>
        <x:v>3.6000000000000005</x:v>
      </x:c>
      <x:c r="D11" s="36" t="str">
        <x:f>INDEX(Scoring!$H$7:$H$12,MATCH(A11,Scoring!$M$7:$M$12,0))</x:f>
        <x:v>Government and operator partnerships</x:v>
      </x:c>
      <x:c r="E11" s="36" t="str">
        <x:f>INDEX(Scoring!$K$7:$K$12,MATCH(A11,Scoring!$M$7:$M$12,0))</x:f>
        <x:v>Pilot one event-response workflow with traceable dispatch and closure metrics.</x:v>
      </x:c>
    </x:row>
    <x:row r="12">
      <x:c r="A12" s="33" t="n">
        <x:v>5</x:v>
      </x:c>
      <x:c r="B12" s="34" t="str">
        <x:f>INDEX(Scoring!$B$7:$B$12,MATCH(A12,Scoring!$M$7:$M$12,0))</x:f>
        <x:v>Medical and emergency logistics</x:v>
      </x:c>
      <x:c r="C12" s="35" t="n">
        <x:f>INDEX(Scoring!$L$7:$L$12,MATCH(A12,Scoring!$M$7:$M$12,0))</x:f>
        <x:v>3.4000000000000004</x:v>
      </x:c>
      <x:c r="D12" s="36" t="str">
        <x:f>INDEX(Scoring!$H$7:$H$12,MATCH(A12,Scoring!$M$7:$M$12,0))</x:f>
        <x:v>Controlled corridor pilots</x:v>
      </x:c>
      <x:c r="E12" s="36" t="str">
        <x:f>INDEX(Scoring!$K$7:$K$12,MATCH(A12,Scoring!$M$7:$M$12,0))</x:f>
        <x:v>Test one fixed corridor with temperature and fallback controls.</x:v>
      </x:c>
    </x:row>
    <x:row r="13">
      <x:c r="A13" s="33" t="n">
        <x:v>6</x:v>
      </x:c>
      <x:c r="B13" s="34" t="str">
        <x:f>INDEX(Scoring!$B$7:$B$12,MATCH(A13,Scoring!$M$7:$M$12,0))</x:f>
        <x:v>Tourism and passenger mobility</x:v>
      </x:c>
      <x:c r="C13" s="35" t="n">
        <x:f>INDEX(Scoring!$L$7:$L$12,MATCH(A13,Scoring!$M$7:$M$12,0))</x:f>
        <x:v>2</x:v>
      </x:c>
      <x:c r="D13" s="36" t="str">
        <x:f>INDEX(Scoring!$H$7:$H$12,MATCH(A13,Scoring!$M$7:$M$12,0))</x:f>
        <x:v>Monitor</x:v>
      </x:c>
      <x:c r="E13" s="36" t="str">
        <x:f>INDEX(Scoring!$K$7:$K$12,MATCH(A13,Scoring!$M$7:$M$12,0))</x:f>
        <x:v>Study route demand and willingness to pay without owning aircraft.</x:v>
      </x:c>
    </x:row>
    <x:row r="15">
      <x:c r="A15" s="37" t="str">
        <x:v>Interpretation</x:v>
      </x:c>
      <x:c r="B15" s="2" t="str">
        <x:v>Scores are 1–5 analyst judgments, not market forecasts. Facts and sources are separated from the scoring assumptions.</x:v>
      </x:c>
      <x:c r="C15" s="2"/>
      <x:c r="D15" s="2"/>
      <x:c r="E15" s="2"/>
      <x:c r="F15" s="2"/>
    </x:row>
  </x:sheetData>
  <x:mergeCells>
    <x:mergeCell ref="A2:F2"/>
    <x:mergeCell ref="A3:F3"/>
    <x:mergeCell ref="B5:F5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FA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1" hidden="0" customWidth="1"/>
    <x:col min="4" max="4" width="13" hidden="0" customWidth="1"/>
    <x:col min="5" max="5" width="17" hidden="0" customWidth="1"/>
    <x:col min="6" max="6" width="18" hidden="0" customWidth="1"/>
    <x:col min="7" max="7" width="18" hidden="0" customWidth="1"/>
    <x:col min="8" max="8" width="29" hidden="0" customWidth="1"/>
    <x:col min="9" max="9" width="45" hidden="0" customWidth="1"/>
    <x:col min="10" max="10" width="45" hidden="0" customWidth="1"/>
    <x:col min="11" max="11" width="45" hidden="0" customWidth="1"/>
    <x:col min="12" max="12" width="14" hidden="0" customWidth="1"/>
    <x:col min="13" max="13" width="8" hidden="0" customWidth="1"/>
  </x:cols>
  <x:sheetData>
    <x:row r="2" ht="26" customHeight="1">
      <x:c r="A2" s="1" t="str">
        <x:v>Scenario scoring model</x:v>
      </x:c>
      <x:c r="B2" s="1" t="str">
        <x:v>Scenario scoring model</x:v>
      </x:c>
      <x:c r="C2" s="1" t="str">
        <x:v>Scenario scoring model</x:v>
      </x:c>
      <x:c r="D2" s="1" t="str">
        <x:v>Scenario scoring model</x:v>
      </x:c>
      <x:c r="E2" s="1" t="str">
        <x:v>Scenario scoring model</x:v>
      </x:c>
      <x:c r="F2" s="1" t="str">
        <x:v>Scenario scoring model</x:v>
      </x:c>
      <x:c r="G2" s="1" t="str">
        <x:v>Scenario scoring model</x:v>
      </x:c>
      <x:c r="H2" s="1" t="str">
        <x:v>Scenario scoring model</x:v>
      </x:c>
      <x:c r="I2" s="1" t="str">
        <x:v>Scenario scoring model</x:v>
      </x:c>
      <x:c r="J2" s="1" t="str">
        <x:v>Scenario scoring model</x:v>
      </x:c>
      <x:c r="K2" s="1" t="str">
        <x:v>Scenario scoring model</x:v>
      </x:c>
      <x:c r="L2" s="1" t="str">
        <x:v>Scenario scoring model</x:v>
      </x:c>
      <x:c r="M2" s="1" t="str">
        <x:v>Scenario scoring model</x:v>
      </x:c>
    </x:row>
    <x:row r="3">
      <x:c r="A3" s="37" t="str">
        <x:v>Editable weights</x:v>
      </x:c>
      <x:c r="B3" s="37" t="str">
        <x:v>Must sum to 100%</x:v>
      </x:c>
      <x:c r="C3" s="41" t="n">
        <x:v>0.2</x:v>
      </x:c>
      <x:c r="D3" s="41" t="n">
        <x:v>0.25</x:v>
      </x:c>
      <x:c r="E3" s="41" t="n">
        <x:v>0.2</x:v>
      </x:c>
      <x:c r="F3" s="41" t="n">
        <x:v>0.2</x:v>
      </x:c>
      <x:c r="G3" s="41" t="n">
        <x:v>0.15</x:v>
      </x:c>
      <x:c r="H3" s="37" t="str">
        <x:v>Weight check</x:v>
      </x:c>
      <x:c r="I3" s="46" t="n">
        <x:f>SUM(C3:G3)</x:f>
        <x:v>1</x:v>
      </x:c>
    </x:row>
    <x:row r="4">
      <x:c r="C4" s="44" t="str">
        <x:v>Demand</x:v>
      </x:c>
      <x:c r="D4" s="44" t="str">
        <x:v>Platform fit</x:v>
      </x:c>
      <x:c r="E4" s="44" t="str">
        <x:v>Commercialization</x:v>
      </x:c>
      <x:c r="F4" s="44" t="str">
        <x:v>Regulatory feasibility</x:v>
      </x:c>
      <x:c r="G4" s="44" t="str">
        <x:v>Data/network effect</x:v>
      </x:c>
    </x:row>
    <x:row r="6" ht="30" customHeight="1">
      <x:c r="A6" s="20" t="str">
        <x:v>ID</x:v>
      </x:c>
      <x:c r="B6" s="21" t="str">
        <x:v>Scenario</x:v>
      </x:c>
      <x:c r="C6" s="21" t="str">
        <x:v>Demand</x:v>
      </x:c>
      <x:c r="D6" s="21" t="str">
        <x:v>Platform fit</x:v>
      </x:c>
      <x:c r="E6" s="21" t="str">
        <x:v>Commercialization</x:v>
      </x:c>
      <x:c r="F6" s="21" t="str">
        <x:v>Regulatory feasibility</x:v>
      </x:c>
      <x:c r="G6" s="21" t="str">
        <x:v>Data/network effect</x:v>
      </x:c>
      <x:c r="H6" s="21" t="str">
        <x:v>Suggested posture</x:v>
      </x:c>
      <x:c r="I6" s="21" t="str">
        <x:v>Key evidence</x:v>
      </x:c>
      <x:c r="J6" s="21" t="str">
        <x:v>Main risk</x:v>
      </x:c>
      <x:c r="K6" s="21" t="str">
        <x:v>First test</x:v>
      </x:c>
      <x:c r="L6" s="21" t="str">
        <x:v>Weighted score</x:v>
      </x:c>
      <x:c r="M6" s="22" t="str">
        <x:v>Rank</x:v>
      </x:c>
    </x:row>
    <x:row r="7">
      <x:c r="A7" s="51" t="str">
        <x:v>S01</x:v>
      </x:c>
      <x:c r="B7" s="51" t="str">
        <x:v>Urban instant delivery</x:v>
      </x:c>
      <x:c r="C7" s="52" t="n">
        <x:v>5</x:v>
      </x:c>
      <x:c r="D7" s="52" t="n">
        <x:v>5</x:v>
      </x:c>
      <x:c r="E7" s="52" t="n">
        <x:v>4</x:v>
      </x:c>
      <x:c r="F7" s="52" t="n">
        <x:v>3</x:v>
      </x:c>
      <x:c r="G7" s="52" t="n">
        <x:v>5</x:v>
      </x:c>
      <x:c r="H7" s="32" t="str">
        <x:v>Pilot now</x:v>
      </x:c>
      <x:c r="I7" s="32" t="str">
        <x:v>Meaningful company-reported delivery scale and strong platform integration.</x:v>
      </x:c>
      <x:c r="J7" s="32" t="str">
        <x:v>Route approval, safety, insurance, infrastructure, and unit economics.</x:v>
      </x:c>
      <x:c r="K7" s="32" t="str">
        <x:v>Test one restricted route against a ground-delivery baseline.</x:v>
      </x:c>
      <x:c r="L7" s="53" t="n">
        <x:f>SUMPRODUCT(C7:G7,$C$3:$G$3)</x:f>
        <x:v>4.4</x:v>
      </x:c>
      <x:c r="M7" s="29" t="n">
        <x:f>SUMPRODUCT(--($L$7:$L$12&gt;L7))+COUNTIFS($L$7:L7,L7)</x:f>
        <x:v>1</x:v>
      </x:c>
    </x:row>
    <x:row r="8">
      <x:c r="A8" s="54" t="str">
        <x:v>S02</x:v>
      </x:c>
      <x:c r="B8" s="54" t="str">
        <x:v>Low-altitude digital infrastructure and services</x:v>
      </x:c>
      <x:c r="C8" s="55" t="n">
        <x:v>4</x:v>
      </x:c>
      <x:c r="D8" s="55" t="n">
        <x:v>5</x:v>
      </x:c>
      <x:c r="E8" s="55" t="n">
        <x:v>3</x:v>
      </x:c>
      <x:c r="F8" s="55" t="n">
        <x:v>3</x:v>
      </x:c>
      <x:c r="G8" s="55" t="n">
        <x:v>5</x:v>
      </x:c>
      <x:c r="H8" s="36" t="str">
        <x:v>Build through partnerships</x:v>
      </x:c>
      <x:c r="I8" s="36" t="str">
        <x:v>Policy emphasizes connected flight, risk, geographic, weather, and insurance data.</x:v>
      </x:c>
      <x:c r="J8" s="36" t="str">
        <x:v>Standards, data access, cybersecurity, procurement, and willingness to pay.</x:v>
      </x:c>
      <x:c r="K8" s="36" t="str">
        <x:v>Co-build one dispatch and risk workflow with a licensed operator.</x:v>
      </x:c>
      <x:c r="L8" s="56" t="n">
        <x:f>SUMPRODUCT(C8:G8,$C$3:$G$3)</x:f>
        <x:v>4</x:v>
      </x:c>
      <x:c r="M8" s="33" t="n">
        <x:f>SUMPRODUCT(--($L$7:$L$12&gt;L8))+COUNTIFS($L$7:L8,L8)</x:f>
        <x:v>2</x:v>
      </x:c>
    </x:row>
    <x:row r="9">
      <x:c r="A9" s="54" t="str">
        <x:v>S03</x:v>
      </x:c>
      <x:c r="B9" s="54" t="str">
        <x:v>Industrial inspection</x:v>
      </x:c>
      <x:c r="C9" s="55" t="n">
        <x:v>4</x:v>
      </x:c>
      <x:c r="D9" s="55" t="n">
        <x:v>3</x:v>
      </x:c>
      <x:c r="E9" s="55" t="n">
        <x:v>4</x:v>
      </x:c>
      <x:c r="F9" s="55" t="n">
        <x:v>4</x:v>
      </x:c>
      <x:c r="G9" s="55" t="n">
        <x:v>3</x:v>
      </x:c>
      <x:c r="H9" s="36" t="str">
        <x:v>Selective B2B entry</x:v>
      </x:c>
      <x:c r="I9" s="36" t="str">
        <x:v>Inspection and surveying are recognized policy application areas.</x:v>
      </x:c>
      <x:c r="J9" s="36" t="str">
        <x:v>Vertical workflow knowledge, integration, procurement, and missed-defect liability.</x:v>
      </x:c>
      <x:c r="K9" s="36" t="str">
        <x:v>Choose one asset class and compare cost, coverage, and confirmed defects.</x:v>
      </x:c>
      <x:c r="L9" s="56" t="n">
        <x:f>SUMPRODUCT(C9:G9,$C$3:$G$3)</x:f>
        <x:v>3.6000000000000005</x:v>
      </x:c>
      <x:c r="M9" s="33" t="n">
        <x:f>SUMPRODUCT(--($L$7:$L$12&gt;L9))+COUNTIFS($L$7:L9,L9)</x:f>
        <x:v>3</x:v>
      </x:c>
    </x:row>
    <x:row r="10">
      <x:c r="A10" s="54" t="str">
        <x:v>S04</x:v>
      </x:c>
      <x:c r="B10" s="54" t="str">
        <x:v>Urban governance and emergency response</x:v>
      </x:c>
      <x:c r="C10" s="55" t="n">
        <x:v>4</x:v>
      </x:c>
      <x:c r="D10" s="55" t="n">
        <x:v>4</x:v>
      </x:c>
      <x:c r="E10" s="55" t="n">
        <x:v>3</x:v>
      </x:c>
      <x:c r="F10" s="55" t="n">
        <x:v>3</x:v>
      </x:c>
      <x:c r="G10" s="55" t="n">
        <x:v>4</x:v>
      </x:c>
      <x:c r="H10" s="36" t="str">
        <x:v>Government and operator partnerships</x:v>
      </x:c>
      <x:c r="I10" s="36" t="str">
        <x:v>Policy recognizes governance and emergency use; maps and cloud fit the workflow.</x:v>
      </x:c>
      <x:c r="J10" s="36" t="str">
        <x:v>Procurement, privacy, reliability, cross-agency data, and recurring revenue.</x:v>
      </x:c>
      <x:c r="K10" s="36" t="str">
        <x:v>Pilot one event-response workflow with traceable dispatch and closure metrics.</x:v>
      </x:c>
      <x:c r="L10" s="56" t="n">
        <x:f>SUMPRODUCT(C10:G10,$C$3:$G$3)</x:f>
        <x:v>3.6000000000000005</x:v>
      </x:c>
      <x:c r="M10" s="33" t="n">
        <x:f>SUMPRODUCT(--($L$7:$L$12&gt;L10))+COUNTIFS($L$7:L10,L10)</x:f>
        <x:v>4</x:v>
      </x:c>
    </x:row>
    <x:row r="11">
      <x:c r="A11" s="54" t="str">
        <x:v>S05</x:v>
      </x:c>
      <x:c r="B11" s="54" t="str">
        <x:v>Medical and emergency logistics</x:v>
      </x:c>
      <x:c r="C11" s="55" t="n">
        <x:v>4</x:v>
      </x:c>
      <x:c r="D11" s="55" t="n">
        <x:v>3</x:v>
      </x:c>
      <x:c r="E11" s="55" t="n">
        <x:v>4</x:v>
      </x:c>
      <x:c r="F11" s="55" t="n">
        <x:v>3</x:v>
      </x:c>
      <x:c r="G11" s="55" t="n">
        <x:v>3</x:v>
      </x:c>
      <x:c r="H11" s="36" t="str">
        <x:v>Controlled corridor pilots</x:v>
      </x:c>
      <x:c r="I11" s="36" t="str">
        <x:v>Policy recognizes medical rescue; constrained routes can create clear time value.</x:v>
      </x:c>
      <x:c r="J11" s="36" t="str">
        <x:v>Chain of custody, weather, reliability, insurance, and failure tolerance.</x:v>
      </x:c>
      <x:c r="K11" s="36" t="str">
        <x:v>Test one fixed corridor with temperature and fallback controls.</x:v>
      </x:c>
      <x:c r="L11" s="56" t="n">
        <x:f>SUMPRODUCT(C11:G11,$C$3:$G$3)</x:f>
        <x:v>3.4000000000000004</x:v>
      </x:c>
      <x:c r="M11" s="33" t="n">
        <x:f>SUMPRODUCT(--($L$7:$L$12&gt;L11))+COUNTIFS($L$7:L11,L11)</x:f>
        <x:v>5</x:v>
      </x:c>
    </x:row>
    <x:row r="12">
      <x:c r="A12" s="54" t="str">
        <x:v>S06</x:v>
      </x:c>
      <x:c r="B12" s="54" t="str">
        <x:v>Tourism and passenger mobility</x:v>
      </x:c>
      <x:c r="C12" s="55" t="n">
        <x:v>3</x:v>
      </x:c>
      <x:c r="D12" s="55" t="n">
        <x:v>2</x:v>
      </x:c>
      <x:c r="E12" s="55" t="n">
        <x:v>2</x:v>
      </x:c>
      <x:c r="F12" s="55" t="n">
        <x:v>1</x:v>
      </x:c>
      <x:c r="G12" s="55" t="n">
        <x:v>2</x:v>
      </x:c>
      <x:c r="H12" s="36" t="str">
        <x:v>Monitor</x:v>
      </x:c>
      <x:c r="I12" s="36" t="str">
        <x:v>Certified eVTOL programs and demonstration sites show long-term potential.</x:v>
      </x:c>
      <x:c r="J12" s="36" t="str">
        <x:v>Airworthiness, operator rules, vertiports, public acceptance, and capital intensity.</x:v>
      </x:c>
      <x:c r="K12" s="36" t="str">
        <x:v>Study route demand and willingness to pay without owning aircraft.</x:v>
      </x:c>
      <x:c r="L12" s="56" t="n">
        <x:f>SUMPRODUCT(C12:G12,$C$3:$G$3)</x:f>
        <x:v>2</x:v>
      </x:c>
      <x:c r="M12" s="33" t="n">
        <x:f>SUMPRODUCT(--($L$7:$L$12&gt;L12))+COUNTIFS($L$7:L12,L12)</x:f>
        <x:v>6</x:v>
      </x:c>
    </x:row>
    <x:row r="14">
      <x:c r="A14" s="37" t="str">
        <x:v>Scoring scale</x:v>
      </x:c>
      <x:c r="B14" s="2" t="str">
        <x:v>1 = materially unfavorable; 2 = weak; 3 = mixed; 4 = favorable; 5 = strongly favorable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37" t="str">
        <x:v>Use</x:v>
      </x:c>
      <x:c r="B15" s="2" t="str">
        <x:v>Edit the yellow weights and score cells. Weighted scores and ranks update automatically.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mergeCells>
    <x:mergeCell ref="A2:M2"/>
    <x:mergeCell ref="B14:M14"/>
    <x:mergeCell ref="B15:M15"/>
  </x:mergeCells>
  <x:conditionalFormatting sqref="L7:L12">
    <x:cfRule type="colorScale" priority="1">
      <x:colorScale>
        <x:cfvo type="min"/>
        <x:cfvo type="percentile" val="50"/>
        <x:cfvo type="max"/>
        <x:color rgb="FFFDE2E1"/>
        <x:color rgb="FFFFF4CC"/>
        <x:color rgb="FFDDF3E4"/>
      </x:colorScale>
    </x:cfRule>
  </x:conditionalFormatting>
  <x:dataValidations count="2">
    <x:dataValidation type="decimal" operator="between" sqref="C3:G3">
      <x:formula1>0</x:formula1>
      <x:formula2>1</x:formula2>
    </x:dataValidation>
    <x:dataValidation type="whole" operator="between" sqref="C7:G12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AB7C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18" hidden="0" customWidth="1"/>
    <x:col min="4" max="4" width="65" hidden="0" customWidth="1"/>
    <x:col min="5" max="5" width="42" hidden="0" customWidth="1"/>
    <x:col min="6" max="6" width="15" hidden="0" customWidth="1"/>
    <x:col min="7" max="7" width="60" hidden="0" customWidth="1"/>
  </x:cols>
  <x:sheetData>
    <x:row r="2" ht="26" customHeight="1">
      <x:c r="A2" s="1" t="str">
        <x:v>Source ledger</x:v>
      </x:c>
      <x:c r="B2" s="1" t="str">
        <x:v>Source ledger</x:v>
      </x:c>
      <x:c r="C2" s="1" t="str">
        <x:v>Source ledger</x:v>
      </x:c>
      <x:c r="D2" s="1" t="str">
        <x:v>Source ledger</x:v>
      </x:c>
      <x:c r="E2" s="1" t="str">
        <x:v>Source ledger</x:v>
      </x:c>
      <x:c r="F2" s="1" t="str">
        <x:v>Source ledger</x:v>
      </x:c>
      <x:c r="G2" s="1" t="str">
        <x:v>Source ledger</x:v>
      </x:c>
    </x:row>
    <x:row r="3">
      <x:c r="A3" s="2" t="str">
        <x:v>Facts are quoted or tightly paraphrased from the listed sources. Company figures are self-reported.</x:v>
      </x:c>
      <x:c r="B3" s="2"/>
      <x:c r="C3" s="2"/>
      <x:c r="D3" s="2"/>
      <x:c r="E3" s="2"/>
      <x:c r="F3" s="2"/>
      <x:c r="G3" s="2"/>
    </x:row>
    <x:row r="5" ht="30" customHeight="1">
      <x:c r="A5" s="20" t="str">
        <x:v>ID</x:v>
      </x:c>
      <x:c r="B5" s="21" t="str">
        <x:v>Organization</x:v>
      </x:c>
      <x:c r="C5" s="21" t="str">
        <x:v>Date</x:v>
      </x:c>
      <x:c r="D5" s="21" t="str">
        <x:v>Verified fact</x:v>
      </x:c>
      <x:c r="E5" s="21" t="str">
        <x:v>Decision use</x:v>
      </x:c>
      <x:c r="F5" s="21" t="str">
        <x:v>Strength</x:v>
      </x:c>
      <x:c r="G5" s="22" t="str">
        <x:v>URL</x:v>
      </x:c>
    </x:row>
    <x:row r="6">
      <x:c r="A6" s="51" t="str">
        <x:v>SRC01</x:v>
      </x:c>
      <x:c r="B6" s="51" t="str">
        <x:v>National Development and Reform Commission</x:v>
      </x:c>
      <x:c r="C6" s="51" t="str">
        <x:v>2025-12-22</x:v>
      </x:c>
      <x:c r="D6" s="32" t="str">
        <x:v>Official classification defines the concept, scope, and industry boundary.</x:v>
      </x:c>
      <x:c r="E6" s="32" t="str">
        <x:v>Defines the analysis boundary.</x:v>
      </x:c>
      <x:c r="F6" s="51" t="str">
        <x:v>High</x:v>
      </x:c>
      <x:c r="G6" s="58" t="str">
        <x:v>https://zfxxgk.ndrc.gov.cn/wap/iteminfo.jsp?id=20580</x:v>
      </x:c>
    </x:row>
    <x:row r="7">
      <x:c r="A7" s="54" t="str">
        <x:v>SRC02</x:v>
      </x:c>
      <x:c r="B7" s="54" t="str">
        <x:v>NDRC; NFRA; CAAC</x:v>
      </x:c>
      <x:c r="C7" s="54" t="str">
        <x:v>2026-01-28</x:v>
      </x:c>
      <x:c r="D7" s="36" t="str">
        <x:v>Policy lists major scenarios and calls for insurance, data standards, and risk monitoring.</x:v>
      </x:c>
      <x:c r="E7" s="36" t="str">
        <x:v>Supports scenario coverage and regulatory-risk criteria.</x:v>
      </x:c>
      <x:c r="F7" s="54" t="str">
        <x:v>High</x:v>
      </x:c>
      <x:c r="G7" s="59" t="str">
        <x:v>https://zfxxgk.ndrc.gov.cn/web/iteminfo.jsp?id=20606</x:v>
      </x:c>
    </x:row>
    <x:row r="8">
      <x:c r="A8" s="54" t="str">
        <x:v>SRC03</x:v>
      </x:c>
      <x:c r="B8" s="54" t="str">
        <x:v>Civil Aviation Administration of China</x:v>
      </x:c>
      <x:c r="C8" s="54" t="str">
        <x:v>2026-04-22</x:v>
      </x:c>
      <x:c r="D8" s="36" t="str">
        <x:v>By end-2025: 3.287m registered drones, 45.3029m annual flight hours, 46 service stations in 23 provincial-level regions.</x:v>
      </x:c>
      <x:c r="E8" s="36" t="str">
        <x:v>Shows operating scale and infrastructure growth.</x:v>
      </x:c>
      <x:c r="F8" s="54" t="str">
        <x:v>High</x:v>
      </x:c>
      <x:c r="G8" s="59" t="str">
        <x:v>https://www.caac.gov.cn/English/News/202604/t20260422_230642.html</x:v>
      </x:c>
    </x:row>
    <x:row r="9">
      <x:c r="A9" s="54" t="str">
        <x:v>SRC04</x:v>
      </x:c>
      <x:c r="B9" s="54" t="str">
        <x:v>Civil Aviation Administration of China</x:v>
      </x:c>
      <x:c r="C9" s="54" t="str">
        <x:v>2026-05-27</x:v>
      </x:c>
      <x:c r="D9" s="36" t="str">
        <x:v>By March 2026 CAAC reported more than 3.8m registered drones and over 430k operators.</x:v>
      </x:c>
      <x:c r="E9" s="36" t="str">
        <x:v>Adds current scale and regulatory framing.</x:v>
      </x:c>
      <x:c r="F9" s="54" t="str">
        <x:v>High</x:v>
      </x:c>
      <x:c r="G9" s="59" t="str">
        <x:v>https://www.caac.gov.cn/PHONE/XWZX/MHYW/202605/t20260527_230925.html</x:v>
      </x:c>
    </x:row>
    <x:row r="10">
      <x:c r="A10" s="54" t="str">
        <x:v>SRC05</x:v>
      </x:c>
      <x:c r="B10" s="54" t="str">
        <x:v>Meituan</x:v>
      </x:c>
      <x:c r="C10" s="54" t="str">
        <x:v>As of 2026-07</x:v>
      </x:c>
      <x:c r="D10" s="36" t="str">
        <x:v>Company reports more than 1m drone delivery orders, 1,500 merchant brands, and 65 urban routes.</x:v>
      </x:c>
      <x:c r="E10" s="36" t="str">
        <x:v>Validates consumer-delivery operations at scale.</x:v>
      </x:c>
      <x:c r="F10" s="54" t="str">
        <x:v>Medium-High</x:v>
      </x:c>
      <x:c r="G10" s="59" t="str">
        <x:v>https://www.meituan.com/technology</x:v>
      </x:c>
    </x:row>
    <x:row r="11">
      <x:c r="A11" s="54" t="str">
        <x:v>SRC06</x:v>
      </x:c>
      <x:c r="B11" s="54" t="str">
        <x:v>JD.com</x:v>
      </x:c>
      <x:c r="C11" s="54" t="str">
        <x:v>2016-11-11</x:v>
      </x:c>
      <x:c r="D11" s="36" t="str">
        <x:v>JD described rural routes, thousands of test flights, five models, and 5–15 kg payloads up to 50 km.</x:v>
      </x:c>
      <x:c r="E11" s="36" t="str">
        <x:v>Shows platform logistics integration and constrained-route value.</x:v>
      </x:c>
      <x:c r="F11" s="54" t="str">
        <x:v>Medium</x:v>
      </x:c>
      <x:c r="G11" s="59" t="str">
        <x:v>https://jdcorporateblog.com/jd-coms-drone-delivery-program-takes-flight-in-rural-china/</x:v>
      </x:c>
    </x:row>
    <x:row r="12">
      <x:c r="A12" s="54" t="str">
        <x:v>SRC07</x:v>
      </x:c>
      <x:c r="B12" s="54" t="str">
        <x:v>EHang</x:v>
      </x:c>
      <x:c r="C12" s="54" t="str">
        <x:v>Accessed 2026-09-13</x:v>
      </x:c>
      <x:c r="D12" s="36" t="str">
        <x:v>Company profile covers passenger transport, logistics, smart-city management, and aerial media.</x:v>
      </x:c>
      <x:c r="E12" s="36" t="str">
        <x:v>Shows the passenger-mobility commercialization direction.</x:v>
      </x:c>
      <x:c r="F12" s="54" t="str">
        <x:v>Medium</x:v>
      </x:c>
      <x:c r="G12" s="59" t="str">
        <x:v>https://ir.ehang.com/</x:v>
      </x:c>
    </x:row>
    <x:row r="13">
      <x:c r="A13" s="54" t="str">
        <x:v>SRC08</x:v>
      </x:c>
      <x:c r="B13" s="54" t="str">
        <x:v>SF Holding</x:v>
      </x:c>
      <x:c r="C13" s="54" t="str">
        <x:v>2025</x:v>
      </x:c>
      <x:c r="D13" s="36" t="str">
        <x:v>Sustainability reporting identifies unmanned and technology-led logistics initiatives.</x:v>
      </x:c>
      <x:c r="E13" s="36" t="str">
        <x:v>Adds logistics-operator evidence.</x:v>
      </x:c>
      <x:c r="F13" s="54" t="str">
        <x:v>Medium</x:v>
      </x:c>
      <x:c r="G13" s="59" t="str">
        <x:v>https://ir.sf-express.com/</x:v>
      </x:c>
    </x:row>
  </x:sheetData>
  <x:mergeCells>
    <x:mergeCell ref="A2:G2"/>
    <x:mergeCell ref="A3:G3"/>
  </x:mergeCells>
  <x:pageMargins left="0.7" right="0.7" top="0.75" bottom="0.75" header="0.3" footer="0.3"/>
</x:worksheet>
</file>